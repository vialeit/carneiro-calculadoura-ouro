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<sst xmlns="http://schemas.openxmlformats.org/spreadsheetml/2006/main" count="14" uniqueCount="14">
  <si>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Peso seco (g)</t>
  </si>
  <si>
    <t xml:space="preserve">Empuxo (g) </t>
  </si>
  <si>
    <t>Densidade (g/cm³)</t>
  </si>
  <si>
    <t>Teor estimado (%)</t>
  </si>
  <si>
    <t>Quilates</t>
  </si>
  <si>
    <t>Ouro fino atual (g)</t>
  </si>
  <si>
    <t>Add fino  p/ virar 18k (g)</t>
  </si>
  <si>
    <t>Teor desejado</t>
  </si>
  <si>
    <t>Add liga p/ novo teor (g)</t>
  </si>
  <si>
    <t>14 k</t>
  </si>
  <si>
    <t>18k</t>
  </si>
  <si>
    <t>14k</t>
  </si>
  <si>
    <t>12k</t>
  </si>
  <si>
    <t>22k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</si>
</sst>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5.0"/>
      <color theme="1"/>
      <name val="Calibri"/>
    </font>
    <font>
      <sz val="20.0"/>
      <color theme="1"/>
      <name val="Calibri"/>
      <scheme val="minor"/>
    </font>
    <font>
      <color theme="1"/>
      <name val="Calibri"/>
      <scheme val="minor"/>
    </font>
    <font>
      <sz val="17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1" fillId="3" fontId="1" numFmtId="0" xfId="0" applyAlignment="1" applyBorder="1" applyFill="1" applyFont="1">
      <alignment horizontal="center" vertical="top"/>
    </xf>
    <xf borderId="1" fillId="4" fontId="1" numFmtId="0" xfId="0" applyAlignment="1" applyBorder="1" applyFill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4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8.0"/>
    <col customWidth="1" min="3" max="3" width="23.14"/>
    <col customWidth="1" min="4" max="4" width="22.43"/>
    <col customWidth="1" min="5" max="5" width="11.0"/>
    <col customWidth="1" min="6" max="6" width="22.43"/>
    <col customWidth="1" min="7" max="7" width="29.43"/>
    <col customWidth="1" min="8" max="8" width="3.29"/>
    <col customWidth="1" min="9" max="10" width="30.0"/>
    <col customWidth="1" min="11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I1" s="7" t="s">
        <v>7</v>
      </c>
      <c r="J1" s="7" t="s">
        <v>8</v>
      </c>
    </row>
    <row r="2">
      <c r="A2" s="8">
        <v>8.49</v>
      </c>
      <c r="B2" s="8">
        <v>0.607</v>
      </c>
      <c r="C2" s="9"/>
      <c r="D2" s="10"/>
      <c r="E2" s="9"/>
      <c r="F2" s="9"/>
      <c r="G2" s="9"/>
      <c r="H2" s="9"/>
      <c r="I2" s="8" t="s">
        <v>9</v>
      </c>
      <c r="J2" s="9" t="str">
        <f>IF(AND(F2&lt;&gt;"", A2&lt;&gt;"", I2&lt;&gt;""), MAX(F2 / (VALUE(LEFT(I2, LEN(I2)-1)) / 24) - A2, 0), "")
</f>
        <v/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8"/>
      <c r="B3" s="8"/>
      <c r="C3" s="9"/>
      <c r="D3" s="11"/>
      <c r="E3" s="9"/>
      <c r="F3" s="9"/>
      <c r="G3" s="9"/>
    </row>
    <row r="4">
      <c r="C4" s="12" t="str">
        <f t="shared" ref="C4:C17" si="1">IF(ISERROR(A4/B4), "", A4/B4)</f>
        <v/>
      </c>
      <c r="I4" s="12" t="str">
        <f t="shared" ref="I4:I10" si="2">IF(AND(D4&lt;&gt;"", A4&lt;&gt;"", H4&lt;&gt;""), MAX(A4 * (H4/100 - D4/100) / (D4/100), 0), "")
</f>
        <v/>
      </c>
    </row>
    <row r="5">
      <c r="C5" s="12" t="str">
        <f t="shared" si="1"/>
        <v/>
      </c>
      <c r="I5" s="12" t="str">
        <f t="shared" si="2"/>
        <v/>
      </c>
    </row>
    <row r="6">
      <c r="C6" s="12" t="str">
        <f t="shared" si="1"/>
        <v/>
      </c>
      <c r="I6" s="12" t="str">
        <f t="shared" si="2"/>
        <v/>
      </c>
    </row>
    <row r="7">
      <c r="C7" s="12" t="str">
        <f t="shared" si="1"/>
        <v/>
      </c>
      <c r="I7" s="12" t="str">
        <f t="shared" si="2"/>
        <v/>
      </c>
    </row>
    <row r="8">
      <c r="C8" s="12" t="str">
        <f t="shared" si="1"/>
        <v/>
      </c>
      <c r="I8" s="12" t="str">
        <f t="shared" si="2"/>
        <v/>
      </c>
    </row>
    <row r="9">
      <c r="C9" s="12" t="str">
        <f t="shared" si="1"/>
        <v/>
      </c>
      <c r="I9" s="12" t="str">
        <f t="shared" si="2"/>
        <v/>
      </c>
    </row>
    <row r="10">
      <c r="C10" s="12" t="str">
        <f t="shared" si="1"/>
        <v/>
      </c>
      <c r="I10" s="12" t="str">
        <f t="shared" si="2"/>
        <v/>
      </c>
    </row>
    <row r="11">
      <c r="C11" s="12" t="str">
        <f t="shared" si="1"/>
        <v/>
      </c>
      <c r="I11" s="13" t="s">
        <v>10</v>
      </c>
      <c r="J11" s="14">
        <v>0.75</v>
      </c>
    </row>
    <row r="12">
      <c r="C12" s="12" t="str">
        <f t="shared" si="1"/>
        <v/>
      </c>
      <c r="I12" s="13" t="s">
        <v>11</v>
      </c>
      <c r="J12" s="15">
        <v>0.5833</v>
      </c>
    </row>
    <row r="13">
      <c r="C13" s="12" t="str">
        <f t="shared" si="1"/>
        <v/>
      </c>
      <c r="I13" s="13" t="s">
        <v>12</v>
      </c>
      <c r="J13" s="14">
        <v>0.5</v>
      </c>
    </row>
    <row r="14">
      <c r="C14" s="12" t="str">
        <f t="shared" si="1"/>
        <v/>
      </c>
      <c r="I14" s="13" t="s">
        <v>13</v>
      </c>
      <c r="J14" s="15">
        <v>0.9166</v>
      </c>
    </row>
    <row r="15">
      <c r="C15" s="12" t="str">
        <f t="shared" si="1"/>
        <v/>
      </c>
      <c r="I15" s="16"/>
      <c r="J15" s="16"/>
    </row>
    <row r="16">
      <c r="C16" s="12" t="str">
        <f t="shared" si="1"/>
        <v/>
      </c>
      <c r="I16" s="12" t="str">
        <f t="shared" ref="I16:I17" si="3">IF(AND(D16&lt;&gt;"", A16&lt;&gt;"", H16&lt;&gt;""), MAX(A16 * (H16/100 - D16/100) / (D16/100), 0), "")
</f>
        <v/>
      </c>
    </row>
    <row r="17">
      <c r="C17" s="12" t="str">
        <f t="shared" si="1"/>
        <v/>
      </c>
      <c r="I17" s="12" t="str">
        <f t="shared" si="3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">
      <formula1>"12 k,14 k,16 k"</formula1>
    </dataValidation>
  </dataValidations>
  <printOptions/>
  <pageMargins bottom="0.75" footer="0.0" header="0.0" left="0.7" right="0.7" top="0.75"/>
  <pageSetup orientation="landscape"/>
  <drawing r:id="rId1"/>
</worksheet>
</file>